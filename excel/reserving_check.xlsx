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eck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<sst xmlns="http://schemas.openxmlformats.org/spreadsheetml/2006/main" count="28" uniqueCount="28">
  <si>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Reserving check - NAIC 1767 - paid, USD thousands, as at 2007-12-31 (US commercial auto, net, NAIC Schedule P)</t>
  </si>
  <si>
    <t xml:space="preserve">AY</t>
  </si>
  <si>
    <t xml:space="preserve">lag1</t>
  </si>
  <si>
    <t xml:space="preserve">lag2</t>
  </si>
  <si>
    <t xml:space="preserve">lag3</t>
  </si>
  <si>
    <t xml:space="preserve">lag4</t>
  </si>
  <si>
    <t xml:space="preserve">lag5</t>
  </si>
  <si>
    <t xml:space="preserve">lag6</t>
  </si>
  <si>
    <t xml:space="preserve">lag7</t>
  </si>
  <si>
    <t xml:space="preserve">lag8</t>
  </si>
  <si>
    <t xml:space="preserve">lag9</t>
  </si>
  <si>
    <t xml:space="preserve">lag10</t>
  </si>
  <si>
    <t xml:space="preserve">prem_net</t>
  </si>
  <si>
    <t xml:space="preserve">LDF</t>
  </si>
  <si>
    <t xml:space="preserve">tail</t>
  </si>
  <si>
    <t xml:space="preserve">CDF</t>
  </si>
  <si>
    <t xml:space="preserve">latest</t>
  </si>
  <si>
    <t xml:space="preserve">lag</t>
  </si>
  <si>
    <t xml:space="preserve">z</t>
  </si>
  <si>
    <t xml:space="preserve">ult_CL</t>
  </si>
  <si>
    <t xml:space="preserve">prem</t>
  </si>
  <si>
    <t xml:space="preserve">ELR_loo</t>
  </si>
  <si>
    <t xml:space="preserve">ult_BF</t>
  </si>
  <si>
    <t xml:space="preserve"/>
  </si>
  <si>
    <t xml:space="preserve">ult_CC</t>
  </si>
  <si>
    <t xml:space="preserve">ult_BK</t>
  </si>
  <si>
    <t xml:space="preserve">Total</t>
  </si>
  <si>
    <t xml:space="preserve">ELR_CapeCod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</si>
</sst>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>
      <c r="A4" t="n">
        <v>1998</v>
      </c>
      <c r="B4" t="n">
        <v>52793</v>
      </c>
      <c r="C4" t="n">
        <v>93473</v>
      </c>
      <c r="D4" t="n">
        <v>122582</v>
      </c>
      <c r="E4" t="n">
        <v>138893</v>
      </c>
      <c r="F4" t="n">
        <v>148204</v>
      </c>
      <c r="G4" t="n">
        <v>152388</v>
      </c>
      <c r="H4" t="n">
        <v>154182</v>
      </c>
      <c r="I4" t="n">
        <v>156195</v>
      </c>
      <c r="J4" t="n">
        <v>157619</v>
      </c>
      <c r="K4" t="n">
        <v>157992</v>
      </c>
      <c r="L4" t="n">
        <v>244974</v>
      </c>
    </row>
    <row r="5">
      <c r="A5" t="n">
        <v>1999</v>
      </c>
      <c r="B5" t="n">
        <v>54899</v>
      </c>
      <c r="C5" t="n">
        <v>94758</v>
      </c>
      <c r="D5" t="n">
        <v>124791</v>
      </c>
      <c r="E5" t="n">
        <v>140829</v>
      </c>
      <c r="F5" t="n">
        <v>150092</v>
      </c>
      <c r="G5" t="n">
        <v>153731</v>
      </c>
      <c r="H5" t="n">
        <v>155795</v>
      </c>
      <c r="I5" t="n">
        <v>157759</v>
      </c>
      <c r="J5" t="n">
        <v>158417</v>
      </c>
      <c r="L5" t="n">
        <v>231532</v>
      </c>
    </row>
    <row r="6">
      <c r="A6" t="n">
        <v>2000</v>
      </c>
      <c r="B6" t="n">
        <v>55038</v>
      </c>
      <c r="C6" t="n">
        <v>102876</v>
      </c>
      <c r="D6" t="n">
        <v>133577</v>
      </c>
      <c r="E6" t="n">
        <v>151644</v>
      </c>
      <c r="F6" t="n">
        <v>161995</v>
      </c>
      <c r="G6" t="n">
        <v>167149</v>
      </c>
      <c r="H6" t="n">
        <v>170113</v>
      </c>
      <c r="I6" t="n">
        <v>170731</v>
      </c>
      <c r="L6" t="n">
        <v>222211</v>
      </c>
    </row>
    <row r="7">
      <c r="A7" t="n">
        <v>2001</v>
      </c>
      <c r="B7" t="n">
        <v>55821</v>
      </c>
      <c r="C7" t="n">
        <v>95917</v>
      </c>
      <c r="D7" t="n">
        <v>119685</v>
      </c>
      <c r="E7" t="n">
        <v>134023</v>
      </c>
      <c r="F7" t="n">
        <v>142762</v>
      </c>
      <c r="G7" t="n">
        <v>147893</v>
      </c>
      <c r="H7" t="n">
        <v>149899</v>
      </c>
      <c r="L7" t="n">
        <v>233584</v>
      </c>
    </row>
    <row r="8">
      <c r="A8" t="n">
        <v>2002</v>
      </c>
      <c r="B8" t="n">
        <v>59699</v>
      </c>
      <c r="C8" t="n">
        <v>106467</v>
      </c>
      <c r="D8" t="n">
        <v>135085</v>
      </c>
      <c r="E8" t="n">
        <v>156412</v>
      </c>
      <c r="F8" t="n">
        <v>168340</v>
      </c>
      <c r="G8" t="n">
        <v>173788</v>
      </c>
      <c r="L8" t="n">
        <v>259321</v>
      </c>
    </row>
    <row r="9">
      <c r="A9" t="n">
        <v>2003</v>
      </c>
      <c r="B9" t="n">
        <v>61023</v>
      </c>
      <c r="C9" t="n">
        <v>108021</v>
      </c>
      <c r="D9" t="n">
        <v>136734</v>
      </c>
      <c r="E9" t="n">
        <v>159422</v>
      </c>
      <c r="F9" t="n">
        <v>173331</v>
      </c>
      <c r="L9" t="n">
        <v>281503</v>
      </c>
    </row>
    <row r="10">
      <c r="A10" t="n">
        <v>2004</v>
      </c>
      <c r="B10" t="n">
        <v>56934</v>
      </c>
      <c r="C10" t="n">
        <v>104545</v>
      </c>
      <c r="D10" t="n">
        <v>134687</v>
      </c>
      <c r="E10" t="n">
        <v>159177</v>
      </c>
      <c r="L10" t="n">
        <v>301607</v>
      </c>
    </row>
    <row r="11">
      <c r="A11" t="n">
        <v>2005</v>
      </c>
      <c r="B11" t="n">
        <v>64679</v>
      </c>
      <c r="C11" t="n">
        <v>119626</v>
      </c>
      <c r="D11" t="n">
        <v>167302</v>
      </c>
      <c r="L11" t="n">
        <v>322824</v>
      </c>
    </row>
    <row r="12">
      <c r="A12" t="n">
        <v>2006</v>
      </c>
      <c r="B12" t="n">
        <v>75287</v>
      </c>
      <c r="C12" t="n">
        <v>126104</v>
      </c>
      <c r="L12" t="n">
        <v>354894</v>
      </c>
    </row>
    <row r="13">
      <c r="A13" t="n">
        <v>2007</v>
      </c>
      <c r="B13" t="n">
        <v>74744</v>
      </c>
      <c r="L13" t="n">
        <v>370607</v>
      </c>
    </row>
    <row r="15">
      <c r="A15" t="s">
        <v>13</v>
      </c>
      <c r="B15" t="str">
        <f>SUM(C8:C12)/SUM(B8:B12)</f>
      </c>
      <c r="C15" t="str">
        <f>SUM(D7:D11)/SUM(C7:C11)</f>
      </c>
      <c r="D15" t="str">
        <f>SUM(E6:E10)/SUM(D6:D10)</f>
      </c>
      <c r="E15" t="str">
        <f>SUM(F5:F9)/SUM(E5:E9)</f>
      </c>
      <c r="F15" t="str">
        <f>SUM(G4:G8)/SUM(F4:F8)</f>
      </c>
      <c r="G15" t="str">
        <f>SUM(H4:H7)/SUM(G4:G7)</f>
      </c>
      <c r="H15" t="str">
        <f>SUM(I4:I6)/SUM(H4:H6)</f>
      </c>
      <c r="I15" t="str">
        <f>SUM(J4:J5)/SUM(I4:I5)</f>
      </c>
      <c r="J15" t="str">
        <f>SUM(K4:K4)/SUM(J4:J4)</f>
      </c>
    </row>
    <row r="16">
      <c r="A16" t="s">
        <v>14</v>
      </c>
      <c r="K16" t="n">
        <v>1.002344</v>
      </c>
    </row>
    <row r="17">
      <c r="A17" t="s">
        <v>15</v>
      </c>
      <c r="B17" t="str">
        <f>B15*C17</f>
      </c>
      <c r="C17" t="str">
        <f>C15*D17</f>
      </c>
      <c r="D17" t="str">
        <f>D15*E17</f>
      </c>
      <c r="E17" t="str">
        <f>E15*F17</f>
      </c>
      <c r="F17" t="str">
        <f>F15*G17</f>
      </c>
      <c r="G17" t="str">
        <f>G15*H17</f>
      </c>
      <c r="H17" t="str">
        <f>H15*I17</f>
      </c>
      <c r="I17" t="str">
        <f>I15*J17</f>
      </c>
      <c r="J17" t="str">
        <f>J15*K17</f>
      </c>
      <c r="K17" t="str">
        <f>K16</f>
      </c>
    </row>
    <row r="19">
      <c r="A19" t="s">
        <v>1</v>
      </c>
      <c r="B19" t="s">
        <v>16</v>
      </c>
      <c r="C19" t="s">
        <v>17</v>
      </c>
      <c r="D19" t="s">
        <v>15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</row>
    <row r="20">
      <c r="A20" t="str">
        <f>A4</f>
      </c>
      <c r="B20" t="str">
        <f>K4</f>
      </c>
      <c r="C20" t="n">
        <v>10</v>
      </c>
      <c r="D20" t="str">
        <f>INDEX($B$17:$K$17,1,C20)</f>
      </c>
      <c r="E20" t="str">
        <f>1/D20</f>
      </c>
      <c r="F20" t="str">
        <f>B20*D20</f>
      </c>
      <c r="G20" t="str">
        <f>L4</f>
      </c>
      <c r="H20" t="str">
        <f>(SUM($B$20:$B$29)-B20)/(SUMPRODUCT($G$20:$G$29,$E$20:$E$29)-G20*E20)</f>
      </c>
      <c r="I20" t="str">
        <f>B20+H20*G20*(1-E20)</f>
      </c>
      <c r="K20" t="str">
        <f>B20+$B$32*G20*(1-E20)</f>
      </c>
      <c r="L20" t="str">
        <f>B20+(1-E20)*I20</f>
      </c>
    </row>
    <row r="21">
      <c r="A21" t="str">
        <f>A5</f>
      </c>
      <c r="B21" t="str">
        <f>J5</f>
      </c>
      <c r="C21" t="n">
        <v>9</v>
      </c>
      <c r="D21" t="str">
        <f>INDEX($B$17:$K$17,1,C21)</f>
      </c>
      <c r="E21" t="str">
        <f>1/D21</f>
      </c>
      <c r="F21" t="str">
        <f>B21*D21</f>
      </c>
      <c r="G21" t="str">
        <f>L5</f>
      </c>
      <c r="H21" t="str">
        <f>(SUM($B$20:$B$29)-B21)/(SUMPRODUCT($G$20:$G$29,$E$20:$E$29)-G21*E21)</f>
      </c>
      <c r="I21" t="str">
        <f>B21+H21*G21*(1-E21)</f>
      </c>
      <c r="K21" t="str">
        <f>B21+$B$32*G21*(1-E21)</f>
      </c>
      <c r="L21" t="str">
        <f>B21+(1-E21)*I21</f>
      </c>
    </row>
    <row r="22">
      <c r="A22" t="str">
        <f>A6</f>
      </c>
      <c r="B22" t="str">
        <f>I6</f>
      </c>
      <c r="C22" t="n">
        <v>8</v>
      </c>
      <c r="D22" t="str">
        <f>INDEX($B$17:$K$17,1,C22)</f>
      </c>
      <c r="E22" t="str">
        <f>1/D22</f>
      </c>
      <c r="F22" t="str">
        <f>B22*D22</f>
      </c>
      <c r="G22" t="str">
        <f>L6</f>
      </c>
      <c r="H22" t="str">
        <f>(SUM($B$20:$B$29)-B22)/(SUMPRODUCT($G$20:$G$29,$E$20:$E$29)-G22*E22)</f>
      </c>
      <c r="I22" t="str">
        <f>B22+H22*G22*(1-E22)</f>
      </c>
      <c r="K22" t="str">
        <f>B22+$B$32*G22*(1-E22)</f>
      </c>
      <c r="L22" t="str">
        <f>B22+(1-E22)*I22</f>
      </c>
    </row>
    <row r="23">
      <c r="A23" t="str">
        <f>A7</f>
      </c>
      <c r="B23" t="str">
        <f>H7</f>
      </c>
      <c r="C23" t="n">
        <v>7</v>
      </c>
      <c r="D23" t="str">
        <f>INDEX($B$17:$K$17,1,C23)</f>
      </c>
      <c r="E23" t="str">
        <f>1/D23</f>
      </c>
      <c r="F23" t="str">
        <f>B23*D23</f>
      </c>
      <c r="G23" t="str">
        <f>L7</f>
      </c>
      <c r="H23" t="str">
        <f>(SUM($B$20:$B$29)-B23)/(SUMPRODUCT($G$20:$G$29,$E$20:$E$29)-G23*E23)</f>
      </c>
      <c r="I23" t="str">
        <f>B23+H23*G23*(1-E23)</f>
      </c>
      <c r="K23" t="str">
        <f>B23+$B$32*G23*(1-E23)</f>
      </c>
      <c r="L23" t="str">
        <f>B23+(1-E23)*I23</f>
      </c>
    </row>
    <row r="24">
      <c r="A24" t="str">
        <f>A8</f>
      </c>
      <c r="B24" t="str">
        <f>G8</f>
      </c>
      <c r="C24" t="n">
        <v>6</v>
      </c>
      <c r="D24" t="str">
        <f>INDEX($B$17:$K$17,1,C24)</f>
      </c>
      <c r="E24" t="str">
        <f>1/D24</f>
      </c>
      <c r="F24" t="str">
        <f>B24*D24</f>
      </c>
      <c r="G24" t="str">
        <f>L8</f>
      </c>
      <c r="H24" t="str">
        <f>(SUM($B$20:$B$29)-B24)/(SUMPRODUCT($G$20:$G$29,$E$20:$E$29)-G24*E24)</f>
      </c>
      <c r="I24" t="str">
        <f>B24+H24*G24*(1-E24)</f>
      </c>
      <c r="K24" t="str">
        <f>B24+$B$32*G24*(1-E24)</f>
      </c>
      <c r="L24" t="str">
        <f>B24+(1-E24)*I24</f>
      </c>
    </row>
    <row r="25">
      <c r="A25" t="str">
        <f>A9</f>
      </c>
      <c r="B25" t="str">
        <f>F9</f>
      </c>
      <c r="C25" t="n">
        <v>5</v>
      </c>
      <c r="D25" t="str">
        <f>INDEX($B$17:$K$17,1,C25)</f>
      </c>
      <c r="E25" t="str">
        <f>1/D25</f>
      </c>
      <c r="F25" t="str">
        <f>B25*D25</f>
      </c>
      <c r="G25" t="str">
        <f>L9</f>
      </c>
      <c r="H25" t="str">
        <f>(SUM($B$20:$B$29)-B25)/(SUMPRODUCT($G$20:$G$29,$E$20:$E$29)-G25*E25)</f>
      </c>
      <c r="I25" t="str">
        <f>B25+H25*G25*(1-E25)</f>
      </c>
      <c r="K25" t="str">
        <f>B25+$B$32*G25*(1-E25)</f>
      </c>
      <c r="L25" t="str">
        <f>B25+(1-E25)*I25</f>
      </c>
    </row>
    <row r="26">
      <c r="A26" t="str">
        <f>A10</f>
      </c>
      <c r="B26" t="str">
        <f>E10</f>
      </c>
      <c r="C26" t="n">
        <v>4</v>
      </c>
      <c r="D26" t="str">
        <f>INDEX($B$17:$K$17,1,C26)</f>
      </c>
      <c r="E26" t="str">
        <f>1/D26</f>
      </c>
      <c r="F26" t="str">
        <f>B26*D26</f>
      </c>
      <c r="G26" t="str">
        <f>L10</f>
      </c>
      <c r="H26" t="str">
        <f>(SUM($B$20:$B$29)-B26)/(SUMPRODUCT($G$20:$G$29,$E$20:$E$29)-G26*E26)</f>
      </c>
      <c r="I26" t="str">
        <f>B26+H26*G26*(1-E26)</f>
      </c>
      <c r="K26" t="str">
        <f>B26+$B$32*G26*(1-E26)</f>
      </c>
      <c r="L26" t="str">
        <f>B26+(1-E26)*I26</f>
      </c>
    </row>
    <row r="27">
      <c r="A27" t="str">
        <f>A11</f>
      </c>
      <c r="B27" t="str">
        <f>D11</f>
      </c>
      <c r="C27" t="n">
        <v>3</v>
      </c>
      <c r="D27" t="str">
        <f>INDEX($B$17:$K$17,1,C27)</f>
      </c>
      <c r="E27" t="str">
        <f>1/D27</f>
      </c>
      <c r="F27" t="str">
        <f>B27*D27</f>
      </c>
      <c r="G27" t="str">
        <f>L11</f>
      </c>
      <c r="H27" t="str">
        <f>(SUM($B$20:$B$29)-B27)/(SUMPRODUCT($G$20:$G$29,$E$20:$E$29)-G27*E27)</f>
      </c>
      <c r="I27" t="str">
        <f>B27+H27*G27*(1-E27)</f>
      </c>
      <c r="K27" t="str">
        <f>B27+$B$32*G27*(1-E27)</f>
      </c>
      <c r="L27" t="str">
        <f>B27+(1-E27)*I27</f>
      </c>
    </row>
    <row r="28">
      <c r="A28" t="str">
        <f>A12</f>
      </c>
      <c r="B28" t="str">
        <f>C12</f>
      </c>
      <c r="C28" t="n">
        <v>2</v>
      </c>
      <c r="D28" t="str">
        <f>INDEX($B$17:$K$17,1,C28)</f>
      </c>
      <c r="E28" t="str">
        <f>1/D28</f>
      </c>
      <c r="F28" t="str">
        <f>B28*D28</f>
      </c>
      <c r="G28" t="str">
        <f>L12</f>
      </c>
      <c r="H28" t="str">
        <f>(SUM($B$20:$B$29)-B28)/(SUMPRODUCT($G$20:$G$29,$E$20:$E$29)-G28*E28)</f>
      </c>
      <c r="I28" t="str">
        <f>B28+H28*G28*(1-E28)</f>
      </c>
      <c r="K28" t="str">
        <f>B28+$B$32*G28*(1-E28)</f>
      </c>
      <c r="L28" t="str">
        <f>B28+(1-E28)*I28</f>
      </c>
    </row>
    <row r="29">
      <c r="A29" t="str">
        <f>A13</f>
      </c>
      <c r="B29" t="str">
        <f>B13</f>
      </c>
      <c r="C29" t="n">
        <v>1</v>
      </c>
      <c r="D29" t="str">
        <f>INDEX($B$17:$K$17,1,C29)</f>
      </c>
      <c r="E29" t="str">
        <f>1/D29</f>
      </c>
      <c r="F29" t="str">
        <f>B29*D29</f>
      </c>
      <c r="G29" t="str">
        <f>L13</f>
      </c>
      <c r="H29" t="str">
        <f>(SUM($B$20:$B$29)-B29)/(SUMPRODUCT($G$20:$G$29,$E$20:$E$29)-G29*E29)</f>
      </c>
      <c r="I29" t="str">
        <f>B29+H29*G29*(1-E29)</f>
      </c>
      <c r="K29" t="str">
        <f>B29+$B$32*G29*(1-E29)</f>
      </c>
      <c r="L29" t="str">
        <f>B29+(1-E29)*I29</f>
      </c>
    </row>
    <row r="30">
      <c r="A30" t="s">
        <v>26</v>
      </c>
      <c r="B30" t="str">
        <f>SUM(B20:B29)</f>
      </c>
      <c r="F30" t="str">
        <f>SUM(F20:F29)</f>
      </c>
      <c r="I30" t="str">
        <f>SUM(I20:I29)</f>
      </c>
      <c r="K30" t="str">
        <f>SUM(K20:K29)</f>
      </c>
      <c r="L30" t="str">
        <f>SUM(L20:L29)</f>
      </c>
    </row>
    <row r="32">
      <c r="A32" t="s">
        <v>27</v>
      </c>
      <c r="B32" t="str">
        <f>SUM(B20:B29)/SUMPRODUCT(G20:G29,E20:E29)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peterlynch</dc:creator>
  <cp:lastModifiedBy>peterlynch</cp:lastModifiedBy>
  <dcterms:created xsi:type="dcterms:W3CDTF">2026-09-28T12:28:38Z</dcterms:created>
</coreProperties>
</file>